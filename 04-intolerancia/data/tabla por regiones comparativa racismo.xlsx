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R\Documents\MEGAsync\substack\el-atlas\el-atlas-charts\.claude\worktrees\vigilant-wing-c3e39e\04-intolerancia\data\"/>
    </mc:Choice>
  </mc:AlternateContent>
  <xr:revisionPtr revIDLastSave="0" documentId="13_ncr:1_{1AE36FD8-0888-4073-BEC8-86DF2C662389}" xr6:coauthVersionLast="47" xr6:coauthVersionMax="47" xr10:uidLastSave="{00000000-0000-0000-0000-000000000000}"/>
  <bookViews>
    <workbookView xWindow="-108" yWindow="-108" windowWidth="23256" windowHeight="12456" xr2:uid="{67AFA30E-0B9F-4CA5-8C35-3330016A4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N13" i="1"/>
  <c r="N7" i="1" s="1"/>
  <c r="M11" i="1"/>
  <c r="M10" i="1"/>
  <c r="M9" i="1"/>
  <c r="M7" i="1"/>
  <c r="M6" i="1"/>
  <c r="M13" i="1"/>
  <c r="M5" i="1" s="1"/>
  <c r="L11" i="1"/>
  <c r="L10" i="1"/>
  <c r="L9" i="1"/>
  <c r="L7" i="1"/>
  <c r="L6" i="1"/>
  <c r="L5" i="1"/>
  <c r="L4" i="1"/>
  <c r="L2" i="1"/>
  <c r="L13" i="1"/>
  <c r="L3" i="1" s="1"/>
  <c r="K11" i="1"/>
  <c r="K10" i="1"/>
  <c r="K9" i="1"/>
  <c r="K7" i="1"/>
  <c r="K6" i="1"/>
  <c r="K5" i="1"/>
  <c r="K4" i="1"/>
  <c r="K3" i="1"/>
  <c r="K2" i="1"/>
  <c r="K13" i="1"/>
  <c r="J13" i="1"/>
  <c r="J11" i="1" s="1"/>
  <c r="P11" i="1" l="1"/>
  <c r="O11" i="1"/>
  <c r="J4" i="1"/>
  <c r="J5" i="1"/>
  <c r="J7" i="1"/>
  <c r="N3" i="1"/>
  <c r="J9" i="1"/>
  <c r="M2" i="1"/>
  <c r="N4" i="1"/>
  <c r="J10" i="1"/>
  <c r="M3" i="1"/>
  <c r="N5" i="1"/>
  <c r="J2" i="1"/>
  <c r="J3" i="1"/>
  <c r="J6" i="1"/>
  <c r="N2" i="1"/>
  <c r="J8" i="1"/>
  <c r="M4" i="1"/>
  <c r="N6" i="1"/>
  <c r="P10" i="1" l="1"/>
  <c r="O10" i="1"/>
  <c r="O9" i="1"/>
  <c r="P9" i="1"/>
  <c r="O8" i="1"/>
  <c r="P8" i="1"/>
  <c r="O7" i="1"/>
  <c r="P7" i="1"/>
  <c r="O5" i="1"/>
  <c r="P5" i="1"/>
  <c r="O6" i="1"/>
  <c r="P6" i="1"/>
  <c r="O4" i="1"/>
  <c r="P4" i="1"/>
  <c r="P3" i="1"/>
  <c r="O3" i="1"/>
  <c r="O2" i="1"/>
  <c r="P2" i="1"/>
</calcChain>
</file>

<file path=xl/sharedStrings.xml><?xml version="1.0" encoding="utf-8"?>
<sst xmlns="http://schemas.openxmlformats.org/spreadsheetml/2006/main" count="104" uniqueCount="31">
  <si>
    <t>Medio Oriente</t>
  </si>
  <si>
    <t>África Subsharaiana</t>
  </si>
  <si>
    <t>Asia del Sur</t>
  </si>
  <si>
    <t>Latam</t>
  </si>
  <si>
    <t>Sudeste Asiático</t>
  </si>
  <si>
    <t>Eruope del Este</t>
  </si>
  <si>
    <t>Caribe</t>
  </si>
  <si>
    <t>Asia Oriental</t>
  </si>
  <si>
    <t>CANZ</t>
  </si>
  <si>
    <t>Europa Occ</t>
  </si>
  <si>
    <t>indice de exclusion social</t>
  </si>
  <si>
    <t>conductas racistas</t>
  </si>
  <si>
    <t>personas de otra raza vecinos</t>
  </si>
  <si>
    <t>gini ajustado</t>
  </si>
  <si>
    <t>sentirse discriminado por piel</t>
  </si>
  <si>
    <t>region</t>
  </si>
  <si>
    <t>alto</t>
  </si>
  <si>
    <t>medio-alto</t>
  </si>
  <si>
    <t>medio-bajo</t>
  </si>
  <si>
    <t>bajo</t>
  </si>
  <si>
    <t>medio</t>
  </si>
  <si>
    <t>normalizado</t>
  </si>
  <si>
    <t>min-max</t>
  </si>
  <si>
    <t>promedio</t>
  </si>
  <si>
    <t>promedio sin gini</t>
  </si>
  <si>
    <t>perfil</t>
  </si>
  <si>
    <t>sociedad homogénea que no quiere abrirse (xenófoba, racista en actitud hacia el afuera, pero adentro tiene poco)</t>
  </si>
  <si>
    <t>sociedad homogénea que no quiere abrirse (xenófoba, racista en actitud hacia el afuera, pero adentro tiene poco)?</t>
  </si>
  <si>
    <t>sociedad abierta con relativamente bajo racismo</t>
  </si>
  <si>
    <t>sociedad abierta con racismo y desigualdad medio? Alta percepción</t>
  </si>
  <si>
    <t>similar a CANZ pero mas exagerado y un poco peor todo?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</si>
</sst>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ktiv Grotesk"/>
      <family val="2"/>
    </font>
    <font>
      <sz val="11"/>
      <color theme="1"/>
      <name val="Aktiv Grote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69C8-EE21-48E0-810E-DA99A0C30E8F}">
  <dimension ref="A1:P25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baseColWidth="10" defaultRowHeight="19.2" x14ac:dyDescent="0.55000000000000004"/>
  <cols>
    <col min="7" max="7" width="11.36328125" customWidth="1"/>
  </cols>
  <sheetData>
    <row r="1" spans="1:16" x14ac:dyDescent="0.55000000000000004">
      <c r="A1" t="s">
        <v>15</v>
      </c>
      <c r="B1" t="s">
        <v>10</v>
      </c>
      <c r="C1" t="s">
        <v>11</v>
      </c>
      <c r="D1" t="s">
        <v>12</v>
      </c>
      <c r="E1" t="s">
        <v>14</v>
      </c>
      <c r="F1" t="s">
        <v>13</v>
      </c>
      <c r="H1" t="s">
        <v>21</v>
      </c>
      <c r="J1" t="s">
        <v>10</v>
      </c>
      <c r="K1" t="s">
        <v>11</v>
      </c>
      <c r="L1" t="s">
        <v>12</v>
      </c>
      <c r="M1" t="s">
        <v>14</v>
      </c>
      <c r="N1" t="s">
        <v>13</v>
      </c>
      <c r="O1" t="s">
        <v>23</v>
      </c>
      <c r="P1" t="s">
        <v>24</v>
      </c>
    </row>
    <row r="2" spans="1:16" x14ac:dyDescent="0.55000000000000004">
      <c r="A2" t="s">
        <v>0</v>
      </c>
      <c r="B2">
        <v>0.61</v>
      </c>
      <c r="C2">
        <v>17.3</v>
      </c>
      <c r="D2">
        <v>22.5</v>
      </c>
      <c r="E2" s="1">
        <v>5.3461538461538458</v>
      </c>
      <c r="F2" s="1">
        <v>36.480000000000004</v>
      </c>
      <c r="I2" t="s">
        <v>0</v>
      </c>
      <c r="J2">
        <f>(B2-B$11)/J$13</f>
        <v>1</v>
      </c>
      <c r="K2">
        <f>(C2-C$7)/K$13</f>
        <v>0.44329896907216498</v>
      </c>
      <c r="L2">
        <f>(D2-D$10)/L$13</f>
        <v>0.74703557312252966</v>
      </c>
      <c r="M2">
        <f>(E2-E$7)/M$13</f>
        <v>0.18433738502942651</v>
      </c>
      <c r="N2">
        <f>(F2-F$11)/N$13</f>
        <v>0.38185771796303408</v>
      </c>
      <c r="O2" s="1">
        <f>AVERAGE(J2:N2)</f>
        <v>0.55130592903743092</v>
      </c>
      <c r="P2" s="1">
        <f>AVERAGE(J2:M2)</f>
        <v>0.5936679818060302</v>
      </c>
    </row>
    <row r="3" spans="1:16" x14ac:dyDescent="0.55000000000000004">
      <c r="A3" t="s">
        <v>1</v>
      </c>
      <c r="B3">
        <v>0.54</v>
      </c>
      <c r="C3">
        <v>28.1</v>
      </c>
      <c r="D3">
        <v>11.2</v>
      </c>
      <c r="E3" s="1">
        <v>11.5</v>
      </c>
      <c r="F3" s="1">
        <v>45.626086956521732</v>
      </c>
      <c r="I3" t="s">
        <v>1</v>
      </c>
      <c r="J3">
        <f t="shared" ref="J3:J11" si="0">(B3-B$11)/J$13</f>
        <v>0.87037037037037035</v>
      </c>
      <c r="K3">
        <f t="shared" ref="K3:K11" si="1">(C3-C$7)/K$13</f>
        <v>1</v>
      </c>
      <c r="L3">
        <f t="shared" ref="L3:L11" si="2">(D3-D$10)/L$13</f>
        <v>0.30039525691699609</v>
      </c>
      <c r="M3">
        <f t="shared" ref="M3:M11" si="3">(E3-E$7)/M$13</f>
        <v>0.51557093425605538</v>
      </c>
      <c r="N3">
        <f t="shared" ref="N3:N11" si="4">(F3-F$11)/N$13</f>
        <v>1</v>
      </c>
      <c r="O3" s="1">
        <f t="shared" ref="O3:O11" si="5">AVERAGE(J3:N3)</f>
        <v>0.73726731230868436</v>
      </c>
      <c r="P3" s="1">
        <f t="shared" ref="P3:P11" si="6">AVERAGE(J3:M3)</f>
        <v>0.67158414038585545</v>
      </c>
    </row>
    <row r="4" spans="1:16" x14ac:dyDescent="0.55000000000000004">
      <c r="A4" t="s">
        <v>2</v>
      </c>
      <c r="B4">
        <v>0.51</v>
      </c>
      <c r="C4">
        <v>18.399999999999999</v>
      </c>
      <c r="D4">
        <v>27.4</v>
      </c>
      <c r="E4" s="1">
        <v>6.4833333333333334</v>
      </c>
      <c r="F4" s="1">
        <v>35.208333333333336</v>
      </c>
      <c r="I4" t="s">
        <v>2</v>
      </c>
      <c r="J4">
        <f t="shared" si="0"/>
        <v>0.81481481481481477</v>
      </c>
      <c r="K4">
        <f t="shared" si="1"/>
        <v>0.49999999999999989</v>
      </c>
      <c r="L4">
        <f t="shared" si="2"/>
        <v>0.94071146245059289</v>
      </c>
      <c r="M4">
        <f t="shared" si="3"/>
        <v>0.24554658464693066</v>
      </c>
      <c r="N4">
        <f t="shared" si="4"/>
        <v>0.29591157082268149</v>
      </c>
      <c r="O4" s="1">
        <f t="shared" si="5"/>
        <v>0.55939688654700392</v>
      </c>
      <c r="P4" s="1">
        <f t="shared" si="6"/>
        <v>0.62526821547808453</v>
      </c>
    </row>
    <row r="5" spans="1:16" x14ac:dyDescent="0.55000000000000004">
      <c r="A5" t="s">
        <v>3</v>
      </c>
      <c r="B5">
        <v>0.48</v>
      </c>
      <c r="C5">
        <v>14.5</v>
      </c>
      <c r="D5">
        <v>9.1</v>
      </c>
      <c r="E5" s="1">
        <v>11.111111111111112</v>
      </c>
      <c r="F5" s="1">
        <v>44.49444444444444</v>
      </c>
      <c r="I5" t="s">
        <v>3</v>
      </c>
      <c r="J5">
        <f t="shared" si="0"/>
        <v>0.75925925925925919</v>
      </c>
      <c r="K5">
        <f t="shared" si="1"/>
        <v>0.29896907216494845</v>
      </c>
      <c r="L5">
        <f t="shared" si="2"/>
        <v>0.21739130434782611</v>
      </c>
      <c r="M5">
        <f t="shared" si="3"/>
        <v>0.49463881413131711</v>
      </c>
      <c r="N5">
        <f t="shared" si="4"/>
        <v>0.92351744651118761</v>
      </c>
      <c r="O5" s="1">
        <f t="shared" si="5"/>
        <v>0.53875517928290773</v>
      </c>
      <c r="P5" s="1">
        <f t="shared" si="6"/>
        <v>0.44256461247583773</v>
      </c>
    </row>
    <row r="6" spans="1:16" x14ac:dyDescent="0.55000000000000004">
      <c r="A6" t="s">
        <v>4</v>
      </c>
      <c r="B6">
        <v>0.45</v>
      </c>
      <c r="C6">
        <v>12.9</v>
      </c>
      <c r="D6">
        <v>28.9</v>
      </c>
      <c r="E6" s="1">
        <v>9.7888888888888879</v>
      </c>
      <c r="F6" s="1">
        <v>37.422222222222224</v>
      </c>
      <c r="I6" t="s">
        <v>4</v>
      </c>
      <c r="J6">
        <f t="shared" si="0"/>
        <v>0.70370370370370372</v>
      </c>
      <c r="K6">
        <f t="shared" si="1"/>
        <v>0.21649484536082478</v>
      </c>
      <c r="L6">
        <f t="shared" si="2"/>
        <v>1</v>
      </c>
      <c r="M6">
        <f t="shared" si="3"/>
        <v>0.42346960570720654</v>
      </c>
      <c r="N6">
        <f t="shared" si="4"/>
        <v>0.44553821842176605</v>
      </c>
      <c r="O6" s="1">
        <f t="shared" si="5"/>
        <v>0.55784127463870026</v>
      </c>
      <c r="P6" s="1">
        <f t="shared" si="6"/>
        <v>0.58591703869293377</v>
      </c>
    </row>
    <row r="7" spans="1:16" x14ac:dyDescent="0.55000000000000004">
      <c r="A7" t="s">
        <v>5</v>
      </c>
      <c r="B7">
        <v>0.23</v>
      </c>
      <c r="C7">
        <v>8.6999999999999993</v>
      </c>
      <c r="D7">
        <v>22.6</v>
      </c>
      <c r="E7" s="1">
        <v>1.9214285714285715</v>
      </c>
      <c r="F7" s="1">
        <v>32.568571428571431</v>
      </c>
      <c r="I7" t="s">
        <v>5</v>
      </c>
      <c r="J7">
        <f t="shared" si="0"/>
        <v>0.29629629629629628</v>
      </c>
      <c r="K7">
        <f t="shared" si="1"/>
        <v>0</v>
      </c>
      <c r="L7">
        <f t="shared" si="2"/>
        <v>0.75098814229249022</v>
      </c>
      <c r="M7">
        <f t="shared" si="3"/>
        <v>0</v>
      </c>
      <c r="N7">
        <f t="shared" si="4"/>
        <v>0.1175021094212421</v>
      </c>
      <c r="O7" s="1">
        <f t="shared" si="5"/>
        <v>0.23295730960200572</v>
      </c>
      <c r="P7" s="1">
        <f t="shared" si="6"/>
        <v>0.26182110964719663</v>
      </c>
    </row>
    <row r="8" spans="1:16" x14ac:dyDescent="0.55000000000000004">
      <c r="A8" t="s">
        <v>6</v>
      </c>
      <c r="B8">
        <v>0.23</v>
      </c>
      <c r="E8" s="1"/>
      <c r="F8" s="1">
        <v>45.410000000000004</v>
      </c>
      <c r="I8" t="s">
        <v>6</v>
      </c>
      <c r="J8">
        <f t="shared" si="0"/>
        <v>0.29629629629629628</v>
      </c>
      <c r="N8">
        <f t="shared" si="4"/>
        <v>0.98539566865505057</v>
      </c>
      <c r="O8" s="1">
        <f t="shared" si="5"/>
        <v>0.64084598247567337</v>
      </c>
      <c r="P8" s="1">
        <f t="shared" si="6"/>
        <v>0.29629629629629628</v>
      </c>
    </row>
    <row r="9" spans="1:16" x14ac:dyDescent="0.55000000000000004">
      <c r="A9" t="s">
        <v>7</v>
      </c>
      <c r="B9">
        <v>0.19</v>
      </c>
      <c r="C9">
        <v>11.2</v>
      </c>
      <c r="D9">
        <v>18.899999999999999</v>
      </c>
      <c r="E9" s="1">
        <v>4</v>
      </c>
      <c r="F9" s="1">
        <v>34.603999999999999</v>
      </c>
      <c r="I9" t="s">
        <v>7</v>
      </c>
      <c r="J9">
        <f t="shared" si="0"/>
        <v>0.22222222222222221</v>
      </c>
      <c r="K9">
        <f t="shared" si="1"/>
        <v>0.12886597938144329</v>
      </c>
      <c r="L9">
        <f t="shared" si="2"/>
        <v>0.60474308300395263</v>
      </c>
      <c r="M9">
        <f t="shared" si="3"/>
        <v>0.11188004613610147</v>
      </c>
      <c r="N9">
        <f t="shared" si="4"/>
        <v>0.25506743851194497</v>
      </c>
      <c r="O9" s="1">
        <f t="shared" si="5"/>
        <v>0.26455575385113289</v>
      </c>
      <c r="P9" s="1">
        <f t="shared" si="6"/>
        <v>0.2669278326859299</v>
      </c>
    </row>
    <row r="10" spans="1:16" x14ac:dyDescent="0.55000000000000004">
      <c r="A10" t="s">
        <v>8</v>
      </c>
      <c r="B10">
        <v>0.08</v>
      </c>
      <c r="C10">
        <v>18</v>
      </c>
      <c r="D10">
        <v>3.6</v>
      </c>
      <c r="E10" s="1">
        <v>20.5</v>
      </c>
      <c r="F10" s="1">
        <v>35.696666666666665</v>
      </c>
      <c r="I10" t="s">
        <v>8</v>
      </c>
      <c r="J10">
        <f t="shared" si="0"/>
        <v>1.8518518518518507E-2</v>
      </c>
      <c r="K10">
        <f t="shared" si="1"/>
        <v>0.47938144329896903</v>
      </c>
      <c r="L10">
        <f t="shared" si="2"/>
        <v>0</v>
      </c>
      <c r="M10">
        <f t="shared" si="3"/>
        <v>1</v>
      </c>
      <c r="N10">
        <f t="shared" si="4"/>
        <v>0.32891579246373404</v>
      </c>
      <c r="O10" s="1">
        <f t="shared" si="5"/>
        <v>0.36536315085624432</v>
      </c>
      <c r="P10" s="1">
        <f t="shared" si="6"/>
        <v>0.37447499045437188</v>
      </c>
    </row>
    <row r="11" spans="1:16" x14ac:dyDescent="0.55000000000000004">
      <c r="A11" t="s">
        <v>9</v>
      </c>
      <c r="B11">
        <v>7.0000000000000007E-2</v>
      </c>
      <c r="C11">
        <v>9.9</v>
      </c>
      <c r="D11">
        <v>6.8</v>
      </c>
      <c r="E11" s="1">
        <v>6.3950000000000014</v>
      </c>
      <c r="F11" s="1">
        <v>30.830000000000002</v>
      </c>
      <c r="I11" t="s">
        <v>9</v>
      </c>
      <c r="J11">
        <f t="shared" si="0"/>
        <v>0</v>
      </c>
      <c r="K11">
        <f t="shared" si="1"/>
        <v>6.1855670103092834E-2</v>
      </c>
      <c r="L11">
        <f t="shared" si="2"/>
        <v>0.12648221343873517</v>
      </c>
      <c r="M11">
        <f t="shared" si="3"/>
        <v>0.24079200307574014</v>
      </c>
      <c r="N11">
        <f t="shared" si="4"/>
        <v>0</v>
      </c>
      <c r="O11" s="1">
        <f t="shared" si="5"/>
        <v>8.582597732351363E-2</v>
      </c>
      <c r="P11" s="1">
        <f t="shared" si="6"/>
        <v>0.10728247165439203</v>
      </c>
    </row>
    <row r="13" spans="1:16" x14ac:dyDescent="0.55000000000000004">
      <c r="I13" t="s">
        <v>22</v>
      </c>
      <c r="J13">
        <f>B2-B11</f>
        <v>0.54</v>
      </c>
      <c r="K13">
        <f>C3-C7</f>
        <v>19.400000000000002</v>
      </c>
      <c r="L13">
        <f>D6-D10</f>
        <v>25.299999999999997</v>
      </c>
      <c r="M13" s="2">
        <f>E10-E7</f>
        <v>18.578571428571429</v>
      </c>
      <c r="N13" s="2">
        <f>F3-F11</f>
        <v>14.79608695652173</v>
      </c>
    </row>
    <row r="14" spans="1:16" x14ac:dyDescent="0.55000000000000004">
      <c r="M14" s="2"/>
      <c r="N14" s="2"/>
    </row>
    <row r="15" spans="1:16" x14ac:dyDescent="0.55000000000000004">
      <c r="A15" t="s">
        <v>15</v>
      </c>
      <c r="B15" t="s">
        <v>10</v>
      </c>
      <c r="C15" t="s">
        <v>11</v>
      </c>
      <c r="D15" t="s">
        <v>12</v>
      </c>
      <c r="E15" t="s">
        <v>14</v>
      </c>
      <c r="F15" t="s">
        <v>13</v>
      </c>
      <c r="G15" t="s">
        <v>25</v>
      </c>
    </row>
    <row r="16" spans="1:16" x14ac:dyDescent="0.55000000000000004">
      <c r="A16" t="s">
        <v>1</v>
      </c>
      <c r="B16" t="s">
        <v>16</v>
      </c>
      <c r="C16" t="s">
        <v>16</v>
      </c>
      <c r="D16" t="s">
        <v>18</v>
      </c>
      <c r="E16" s="1" t="s">
        <v>17</v>
      </c>
      <c r="F16" s="1" t="s">
        <v>16</v>
      </c>
    </row>
    <row r="17" spans="1:7" x14ac:dyDescent="0.55000000000000004">
      <c r="A17" t="s">
        <v>6</v>
      </c>
      <c r="B17" t="s">
        <v>18</v>
      </c>
      <c r="F17" s="1" t="s">
        <v>16</v>
      </c>
    </row>
    <row r="18" spans="1:7" x14ac:dyDescent="0.55000000000000004">
      <c r="A18" t="s">
        <v>3</v>
      </c>
      <c r="B18" t="s">
        <v>17</v>
      </c>
      <c r="C18" t="s">
        <v>20</v>
      </c>
      <c r="D18" t="s">
        <v>18</v>
      </c>
      <c r="E18" s="1" t="s">
        <v>17</v>
      </c>
      <c r="F18" s="1" t="s">
        <v>16</v>
      </c>
      <c r="G18" t="s">
        <v>30</v>
      </c>
    </row>
    <row r="19" spans="1:7" x14ac:dyDescent="0.55000000000000004">
      <c r="A19" t="s">
        <v>4</v>
      </c>
      <c r="B19" t="s">
        <v>17</v>
      </c>
      <c r="C19" t="s">
        <v>18</v>
      </c>
      <c r="D19" t="s">
        <v>16</v>
      </c>
      <c r="E19" s="1" t="s">
        <v>17</v>
      </c>
      <c r="F19" s="1" t="s">
        <v>20</v>
      </c>
    </row>
    <row r="20" spans="1:7" x14ac:dyDescent="0.55000000000000004">
      <c r="A20" t="s">
        <v>0</v>
      </c>
      <c r="B20" t="s">
        <v>16</v>
      </c>
      <c r="C20" t="s">
        <v>17</v>
      </c>
      <c r="D20" t="s">
        <v>16</v>
      </c>
      <c r="E20" s="1" t="s">
        <v>18</v>
      </c>
      <c r="F20" s="1" t="s">
        <v>20</v>
      </c>
    </row>
    <row r="21" spans="1:7" x14ac:dyDescent="0.55000000000000004">
      <c r="A21" t="s">
        <v>8</v>
      </c>
      <c r="B21" t="s">
        <v>19</v>
      </c>
      <c r="C21" t="s">
        <v>17</v>
      </c>
      <c r="D21" t="s">
        <v>19</v>
      </c>
      <c r="E21" t="s">
        <v>16</v>
      </c>
      <c r="F21" s="1" t="s">
        <v>20</v>
      </c>
      <c r="G21" t="s">
        <v>29</v>
      </c>
    </row>
    <row r="22" spans="1:7" x14ac:dyDescent="0.55000000000000004">
      <c r="A22" t="s">
        <v>2</v>
      </c>
      <c r="B22" t="s">
        <v>16</v>
      </c>
      <c r="C22" t="s">
        <v>17</v>
      </c>
      <c r="D22" t="s">
        <v>16</v>
      </c>
      <c r="E22" s="1" t="s">
        <v>18</v>
      </c>
      <c r="F22" s="1" t="s">
        <v>20</v>
      </c>
    </row>
    <row r="23" spans="1:7" x14ac:dyDescent="0.55000000000000004">
      <c r="A23" t="s">
        <v>7</v>
      </c>
      <c r="B23" t="s">
        <v>18</v>
      </c>
      <c r="C23" t="s">
        <v>18</v>
      </c>
      <c r="D23" t="s">
        <v>17</v>
      </c>
      <c r="E23" t="s">
        <v>19</v>
      </c>
      <c r="F23" s="1" t="s">
        <v>20</v>
      </c>
      <c r="G23" t="s">
        <v>27</v>
      </c>
    </row>
    <row r="24" spans="1:7" x14ac:dyDescent="0.55000000000000004">
      <c r="A24" t="s">
        <v>5</v>
      </c>
      <c r="B24" t="s">
        <v>18</v>
      </c>
      <c r="C24" t="s">
        <v>19</v>
      </c>
      <c r="D24" t="s">
        <v>16</v>
      </c>
      <c r="E24" t="s">
        <v>19</v>
      </c>
      <c r="F24" s="1" t="s">
        <v>19</v>
      </c>
      <c r="G24" t="s">
        <v>26</v>
      </c>
    </row>
    <row r="25" spans="1:7" x14ac:dyDescent="0.55000000000000004">
      <c r="A25" t="s">
        <v>9</v>
      </c>
      <c r="B25" t="s">
        <v>19</v>
      </c>
      <c r="C25" t="s">
        <v>19</v>
      </c>
      <c r="D25" t="s">
        <v>19</v>
      </c>
      <c r="E25" s="1" t="s">
        <v>18</v>
      </c>
      <c r="F25" s="1" t="s">
        <v>19</v>
      </c>
      <c r="G25" t="s">
        <v>28</v>
      </c>
    </row>
  </sheetData>
  <sortState xmlns:xlrd2="http://schemas.microsoft.com/office/spreadsheetml/2017/richdata2" ref="A16:F25">
    <sortCondition descending="1" ref="F16:F25"/>
  </sortState>
  <conditionalFormatting sqref="B2:B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Schteingart</dc:creator>
  <cp:lastModifiedBy>Daniel Schteingart</cp:lastModifiedBy>
  <dcterms:created xsi:type="dcterms:W3CDTF">2026-07-28T03:13:35Z</dcterms:created>
  <dcterms:modified xsi:type="dcterms:W3CDTF">2026-07-28T03:57:30Z</dcterms:modified>
</cp:coreProperties>
</file>